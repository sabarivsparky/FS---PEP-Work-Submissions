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results" sheetId="2" state="visible" r:id="rId4"/>
    <sheet name="Run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<sst xmlns="http://schemas.openxmlformats.org/spreadsheetml/2006/main" count="80" uniqueCount="71">
  <si>
    <t xml:space="preserve">Summary of findings</t>
  </si>
  <si>
    <t xml:space="preserve">Setup</t>
  </si>
  <si>
    <t xml:space="preserve">Task: binary image classification on IMD2020, 0 = Authentic, 1 = Forged. 2424 images (414 Authentic, 2010 Forged).</t>
  </si>
  <si>
    <t xml:space="preserve">Split 80/10/10 grouped by source-image ID: train 1937, validation 243, test 244. No source image appears in two splits.</t>
  </si>
  <si>
    <t xml:space="preserve">Pipeline: 224x224 native-resolution patches centred on tampered regions (from the masks); full images scored by tiling, image score = max patch probability.</t>
  </si>
  <si>
    <t xml:space="preserve">Decision threshold tuned on validation (macro-F1); test set evaluated once. 10 epochs per model, best epoch by validation macro-F1.</t>
  </si>
  <si>
    <t xml:space="preserve">What the results show</t>
  </si>
  <si>
    <t xml:space="preserve">All five models show some signal: every AUC interval stays above 0.5 (lower bounds 0.58 to 0.71).</t>
  </si>
  <si>
    <t xml:space="preserve">None is a reliable detector: balanced accuracy is 0.59 to 0.64 and every model recognises fewer than half of the Authentic test images (11 to 17 of 41).</t>
  </si>
  <si>
    <t xml:space="preserve">No model clearly beats the 'always predict Forged' baseline on accuracy or F1 (0.832 / 0.908). ConvNeXt's 0.913 F1 comes from calling 222 of 244 images Forged.</t>
  </si>
  <si>
    <t xml:space="preserve">Intervals overlap almost completely, so the five models cannot be ranked. Model order changed between the first run and this run.</t>
  </si>
  <si>
    <t xml:space="preserve">best_overall_model.pth is ResNet50 (highest test AUC), but choosing on the test set is optimistic and ResNet50 has the lowest balanced accuracy at its chosen threshold.</t>
  </si>
  <si>
    <t xml:space="preserve">Limitations</t>
  </si>
  <si>
    <t xml:space="preserve">Only 41 Authentic test images; Authentic-class numbers are noisy. Dice here is image-level (equal to Forged F1), not pixel-level.</t>
  </si>
  <si>
    <t xml:space="preserve">197 of the 2010 Forged images are PNG while all Authentic images are JPG; a format shortcut is possible but was not tested.</t>
  </si>
  <si>
    <t xml:space="preserve">Whole-image resizing to 224x224 was tried first and failed (train F1 about 0.95, validation macro-F1 below 0.5), motivating the patch pipeline.</t>
  </si>
  <si>
    <t xml:space="preserve">IMD2020 forgery classification: test-set results (patch pipeline, 10 epochs per model)</t>
  </si>
  <si>
    <t xml:space="preserve">Source: confusion matrices, thresholds, AUC and intervals typed in from the user's Kaggle notebook output (blue). All other metrics are formulas computed from the confusion-matrix counts. Forged = positive class.</t>
  </si>
  <si>
    <t xml:space="preserve">Model</t>
  </si>
  <si>
    <t xml:space="preserve">Threshold</t>
  </si>
  <si>
    <t xml:space="preserve">TN (Authentic correct)</t>
  </si>
  <si>
    <t xml:space="preserve">FP (Authentic called Forged)</t>
  </si>
  <si>
    <t xml:space="preserve">FN (Forged called Authentic)</t>
  </si>
  <si>
    <t xml:space="preserve">TP (Forged correct)</t>
  </si>
  <si>
    <t xml:space="preserve">Accuracy</t>
  </si>
  <si>
    <t xml:space="preserve">Precision (Forged)</t>
  </si>
  <si>
    <t xml:space="preserve">Recall (Forged)</t>
  </si>
  <si>
    <t xml:space="preserve">F1 = Dice (Forged)</t>
  </si>
  <si>
    <t xml:space="preserve">Authentic caught (specificity)</t>
  </si>
  <si>
    <t xml:space="preserve">Balanced accuracy</t>
  </si>
  <si>
    <t xml:space="preserve">Macro-F1</t>
  </si>
  <si>
    <t xml:space="preserve">AUC</t>
  </si>
  <si>
    <t xml:space="preserve">AUC 95% CI low</t>
  </si>
  <si>
    <t xml:space="preserve">AUC 95% CI high</t>
  </si>
  <si>
    <t xml:space="preserve">Bal. acc. 95% CI low</t>
  </si>
  <si>
    <t xml:space="preserve">Bal. acc. 95% CI high</t>
  </si>
  <si>
    <t xml:space="preserve">Images predicted Forged</t>
  </si>
  <si>
    <t xml:space="preserve">Total images (check = 244)</t>
  </si>
  <si>
    <t xml:space="preserve">ResNet50</t>
  </si>
  <si>
    <t xml:space="preserve">EfficientNet</t>
  </si>
  <si>
    <t xml:space="preserve">DenseNet</t>
  </si>
  <si>
    <t xml:space="preserve">ConvNeXt</t>
  </si>
  <si>
    <t xml:space="preserve">ViT</t>
  </si>
  <si>
    <t xml:space="preserve">(ref) always predict Forged</t>
  </si>
  <si>
    <t xml:space="preserve">-</t>
  </si>
  <si>
    <t xml:space="preserve">n/a</t>
  </si>
  <si>
    <t xml:space="preserve">Notes</t>
  </si>
  <si>
    <t xml:space="preserve">Test set = 41 Authentic + 203 Forged images (244). With only 41 Authentic images, each one moves Authentic recall by about 2.4 points.</t>
  </si>
  <si>
    <t xml:space="preserve">F1 and Dice are identical here: Dice is image-level for the Forged class (2TP / (2TP + FP + FN)), not a pixel-level overlap with the masks.</t>
  </si>
  <si>
    <t xml:space="preserve">Metrics recomputed from the counts match the values printed by the notebook (for example ResNet50 accuracy 0.8033, F1 0.8852, balanced accuracy 0.5898).</t>
  </si>
  <si>
    <t xml:space="preserve">AUC and the 95% intervals are bootstrap results from the comparison cell (2000 resamples); they are typed in, not recomputable from this sheet.</t>
  </si>
  <si>
    <t xml:space="preserve">The 'always predict Forged' row is a trivial baseline. A model must beat it on balanced accuracy and AUC, not just on F1 or accuracy.</t>
  </si>
  <si>
    <t xml:space="preserve">Colour key: blue = typed-in value from notebook output; black = formula; green (other sheets) = link.</t>
  </si>
  <si>
    <t xml:space="preserve">First run vs this run: the ranking is not stable</t>
  </si>
  <si>
    <t xml:space="preserve">First-run values (blue) are the earlier comparison table from the conversation; its model files were lost when the session ended. This-run values (green) link to the 'Test results' sheet.</t>
  </si>
  <si>
    <t xml:space="preserve">AUC first run</t>
  </si>
  <si>
    <t xml:space="preserve">AUC this run</t>
  </si>
  <si>
    <t xml:space="preserve">AUC change</t>
  </si>
  <si>
    <t xml:space="preserve">AUC rank first run</t>
  </si>
  <si>
    <t xml:space="preserve">AUC rank this run</t>
  </si>
  <si>
    <t xml:space="preserve">Bal. acc. first run</t>
  </si>
  <si>
    <t xml:space="preserve">Bal. acc. this run</t>
  </si>
  <si>
    <t xml:space="preserve">Bal. acc. change</t>
  </si>
  <si>
    <t xml:space="preserve">Largest AUC change for any model between the two runs</t>
  </si>
  <si>
    <t xml:space="preserve">Spread of AUC across the five models, first run (max - min)</t>
  </si>
  <si>
    <t xml:space="preserve">Spread of AUC across the five models, this run (max - min)</t>
  </si>
  <si>
    <t xml:space="preserve">Reading this</t>
  </si>
  <si>
    <t xml:space="preserve">A single model's AUC moved by up to the value in D11 between runs, which is as large as the gaps between models within one run (D12, D13).</t>
  </si>
  <si>
    <t xml:space="preserve">So one run cannot say which architecture is better. The test set is small (41 Authentic images) and training is not exactly repeatable.</t>
  </si>
  <si>
    <t xml:space="preserve">An extra EfficientNet retrain in the same session (patch pipeline) gave AUC 0.785, balanced accuracy 0.657, F1 0.818 (confusion matrix [[23,18],[50,153]]).</t>
  </si>
  <si>
    <t xml:space="preserve">Cross-validation over all 414 Authentic images would be needed for a trustworthy ranking.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</si>
</sst>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General"/>
    <numFmt numFmtId="168" formatCode="\+0.000;\-0.000;0.000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Test AUC by model: first run vs this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'Run comparison'!B4</c:f>
              <c:strCache>
                <c:ptCount val="1"/>
                <c:pt idx="0">
                  <c:v>AUC first run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'Run comparison'!$A$5:$A$9</c:f>
              <c:strCache>
                <c:ptCount val="5"/>
                <c:pt idx="0">
                  <c:v>ResNet50</c:v>
                </c:pt>
                <c:pt idx="1">
                  <c:v>EfficientNet</c:v>
                </c:pt>
                <c:pt idx="2">
                  <c:v>DenseNet</c:v>
                </c:pt>
                <c:pt idx="3">
                  <c:v>ConvNeXt</c:v>
                </c:pt>
                <c:pt idx="4">
                  <c:v>ViT</c:v>
                </c:pt>
              </c:strCache>
            </c:strRef>
          </c:cat>
          <c:val>
            <c:numRef>
              <c:f>'Run comparison'!$B$5:$B$9</c:f>
              <c:numCache>
                <c:formatCode>0.000</c:formatCode>
                <c:ptCount val="5"/>
                <c:pt idx="0">
                  <c:v>0.656</c:v>
                </c:pt>
                <c:pt idx="1">
                  <c:v>0.76</c:v>
                </c:pt>
                <c:pt idx="2">
                  <c:v>0.754</c:v>
                </c:pt>
                <c:pt idx="3">
                  <c:v>0.749</c:v>
                </c:pt>
                <c:pt idx="4">
                  <c:v>0.612</c:v>
                </c:pt>
              </c:numCache>
            </c:numRef>
          </c:val>
        </c:ser>
        <c:ser>
          <c:idx val="1"/>
          <c:order val="1"/>
          <c:tx>
            <c:strRef>
              <c:f>'Run comparison'!C4</c:f>
              <c:strCache>
                <c:ptCount val="1"/>
                <c:pt idx="0">
                  <c:v>AUC this run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'Run comparison'!$A$5:$A$9</c:f>
              <c:strCache>
                <c:ptCount val="5"/>
                <c:pt idx="0">
                  <c:v>ResNet50</c:v>
                </c:pt>
                <c:pt idx="1">
                  <c:v>EfficientNet</c:v>
                </c:pt>
                <c:pt idx="2">
                  <c:v>DenseNet</c:v>
                </c:pt>
                <c:pt idx="3">
                  <c:v>ConvNeXt</c:v>
                </c:pt>
                <c:pt idx="4">
                  <c:v>ViT</c:v>
                </c:pt>
              </c:strCache>
            </c:strRef>
          </c:cat>
          <c:val>
            <c:numRef>
              <c:f>'Run comparison'!$C$5:$C$9</c:f>
              <c:numCache>
                <c:formatCode>0.000</c:formatCode>
                <c:ptCount val="5"/>
                <c:pt idx="0">
                  <c:v>0.7827</c:v>
                </c:pt>
                <c:pt idx="1">
                  <c:v>0.7211</c:v>
                </c:pt>
                <c:pt idx="2">
                  <c:v>0.6982</c:v>
                </c:pt>
                <c:pt idx="3">
                  <c:v>0.7197</c:v>
                </c:pt>
                <c:pt idx="4">
                  <c:v>0.6721</c:v>
                </c:pt>
              </c:numCache>
            </c:numRef>
          </c:val>
        </c:ser>
        <c:gapWidth val="150"/>
        <c:overlap val="0"/>
        <c:axId val="618433"/>
        <c:axId val="2510134"/>
      </c:barChart>
      <c:catAx>
        <c:axId val="618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0134"/>
        <c:crosses val="autoZero"/>
        <c:auto val="1"/>
        <c:lblAlgn val="ctr"/>
        <c:lblOffset val="100"/>
        <c:noMultiLvlLbl val="0"/>
      </c:catAx>
      <c:valAx>
        <c:axId val="2510134"/>
        <c:scaling>
          <c:orientation val="minMax"/>
          <c:max val="0.9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19</xdr:col>
      <xdr:colOff>256320</xdr:colOff>
      <xdr:row>17</xdr:row>
      <xdr:rowOff>153360</xdr:rowOff>
    </xdr:to>
    <xdr:graphicFrame>
      <xdr:nvGraphicFramePr>
        <xdr:cNvPr id="0" name="Chart 1"/>
        <xdr:cNvGraphicFramePr/>
      </xdr:nvGraphicFramePr>
      <xdr:xfrm>
        <a:off x="11043360" y="571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23.8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6" min="15" style="0" width="11"/>
    <col collapsed="false" customWidth="true" hidden="false" outlineLevel="0" max="18" min="17" style="0" width="12"/>
    <col collapsed="false" customWidth="true" hidden="false" outlineLevel="0" max="19" min="19" style="0" width="13"/>
    <col collapsed="false" customWidth="true" hidden="false" outlineLevel="0" max="20" min="20" style="0" width="14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4" customFormat="false" ht="45" hidden="false" customHeight="tru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5" t="s">
        <v>32</v>
      </c>
      <c r="P4" s="5" t="s">
        <v>33</v>
      </c>
      <c r="Q4" s="5" t="s">
        <v>34</v>
      </c>
      <c r="R4" s="5" t="s">
        <v>35</v>
      </c>
      <c r="S4" s="5" t="s">
        <v>36</v>
      </c>
      <c r="T4" s="5" t="s">
        <v>37</v>
      </c>
    </row>
    <row r="5" customFormat="false" ht="15" hidden="false" customHeight="false" outlineLevel="0" collapsed="false">
      <c r="A5" s="6" t="s">
        <v>38</v>
      </c>
      <c r="B5" s="7" t="n">
        <v>0.54</v>
      </c>
      <c r="C5" s="8" t="n">
        <v>11</v>
      </c>
      <c r="D5" s="8" t="n">
        <v>30</v>
      </c>
      <c r="E5" s="8" t="n">
        <v>18</v>
      </c>
      <c r="F5" s="8" t="n">
        <v>185</v>
      </c>
      <c r="G5" s="9" t="n">
        <f aca="false">(C5+F5)/(C5+D5+E5+F5)</f>
        <v>0.80327868852459</v>
      </c>
      <c r="H5" s="9" t="n">
        <f aca="false">IFERROR(F5/(F5+D5),0)</f>
        <v>0.86046511627907</v>
      </c>
      <c r="I5" s="9" t="n">
        <f aca="false">IFERROR(F5/(F5+E5),0)</f>
        <v>0.911330049261084</v>
      </c>
      <c r="J5" s="9" t="n">
        <f aca="false">IFERROR(2*F5/(2*F5+D5+E5),0)</f>
        <v>0.885167464114833</v>
      </c>
      <c r="K5" s="9" t="n">
        <f aca="false">IFERROR(C5/(C5+D5),0)</f>
        <v>0.268292682926829</v>
      </c>
      <c r="L5" s="9" t="n">
        <f aca="false">(I5+K5)/2</f>
        <v>0.589811366093957</v>
      </c>
      <c r="M5" s="9" t="n">
        <f aca="false">(J5+IFERROR(2*C5/(2*C5+E5+D5),0))/2</f>
        <v>0.599726589200273</v>
      </c>
      <c r="N5" s="10" t="n">
        <v>0.7827</v>
      </c>
      <c r="O5" s="7" t="n">
        <v>0.71</v>
      </c>
      <c r="P5" s="7" t="n">
        <v>0.85</v>
      </c>
      <c r="Q5" s="7" t="n">
        <v>0.52</v>
      </c>
      <c r="R5" s="7" t="n">
        <v>0.67</v>
      </c>
      <c r="S5" s="11" t="n">
        <f aca="false">D5+F5</f>
        <v>215</v>
      </c>
      <c r="T5" s="11" t="n">
        <f aca="false">C5+D5+E5+F5</f>
        <v>244</v>
      </c>
    </row>
    <row r="6" customFormat="false" ht="15" hidden="false" customHeight="false" outlineLevel="0" collapsed="false">
      <c r="A6" s="6" t="s">
        <v>39</v>
      </c>
      <c r="B6" s="7" t="n">
        <v>0.52</v>
      </c>
      <c r="C6" s="8" t="n">
        <v>15</v>
      </c>
      <c r="D6" s="8" t="n">
        <v>26</v>
      </c>
      <c r="E6" s="8" t="n">
        <v>33</v>
      </c>
      <c r="F6" s="8" t="n">
        <v>170</v>
      </c>
      <c r="G6" s="9" t="n">
        <f aca="false">(C6+F6)/(C6+D6+E6+F6)</f>
        <v>0.758196721311475</v>
      </c>
      <c r="H6" s="9" t="n">
        <f aca="false">IFERROR(F6/(F6+D6),0)</f>
        <v>0.86734693877551</v>
      </c>
      <c r="I6" s="9" t="n">
        <f aca="false">IFERROR(F6/(F6+E6),0)</f>
        <v>0.83743842364532</v>
      </c>
      <c r="J6" s="9" t="n">
        <f aca="false">IFERROR(2*F6/(2*F6+D6+E6),0)</f>
        <v>0.852130325814536</v>
      </c>
      <c r="K6" s="9" t="n">
        <f aca="false">IFERROR(C6/(C6+D6),0)</f>
        <v>0.365853658536585</v>
      </c>
      <c r="L6" s="9" t="n">
        <f aca="false">(I6+K6)/2</f>
        <v>0.601646041090953</v>
      </c>
      <c r="M6" s="9" t="n">
        <f aca="false">(J6+IFERROR(2*C6/(2*C6+E6+D6),0))/2</f>
        <v>0.594604488749965</v>
      </c>
      <c r="N6" s="10" t="n">
        <v>0.7211</v>
      </c>
      <c r="O6" s="7" t="n">
        <v>0.63</v>
      </c>
      <c r="P6" s="7" t="n">
        <v>0.8</v>
      </c>
      <c r="Q6" s="7" t="n">
        <v>0.52</v>
      </c>
      <c r="R6" s="7" t="n">
        <v>0.68</v>
      </c>
      <c r="S6" s="11" t="n">
        <f aca="false">D6+F6</f>
        <v>196</v>
      </c>
      <c r="T6" s="11" t="n">
        <f aca="false">C6+D6+E6+F6</f>
        <v>244</v>
      </c>
    </row>
    <row r="7" customFormat="false" ht="15" hidden="false" customHeight="false" outlineLevel="0" collapsed="false">
      <c r="A7" s="6" t="s">
        <v>40</v>
      </c>
      <c r="B7" s="7" t="n">
        <v>0.54</v>
      </c>
      <c r="C7" s="8" t="n">
        <v>16</v>
      </c>
      <c r="D7" s="8" t="n">
        <v>25</v>
      </c>
      <c r="E7" s="8" t="n">
        <v>40</v>
      </c>
      <c r="F7" s="8" t="n">
        <v>163</v>
      </c>
      <c r="G7" s="9" t="n">
        <f aca="false">(C7+F7)/(C7+D7+E7+F7)</f>
        <v>0.733606557377049</v>
      </c>
      <c r="H7" s="9" t="n">
        <f aca="false">IFERROR(F7/(F7+D7),0)</f>
        <v>0.867021276595745</v>
      </c>
      <c r="I7" s="9" t="n">
        <f aca="false">IFERROR(F7/(F7+E7),0)</f>
        <v>0.802955665024631</v>
      </c>
      <c r="J7" s="9" t="n">
        <f aca="false">IFERROR(2*F7/(2*F7+D7+E7),0)</f>
        <v>0.833759590792839</v>
      </c>
      <c r="K7" s="9" t="n">
        <f aca="false">IFERROR(C7/(C7+D7),0)</f>
        <v>0.390243902439024</v>
      </c>
      <c r="L7" s="9" t="n">
        <f aca="false">(I7+K7)/2</f>
        <v>0.596599783731828</v>
      </c>
      <c r="M7" s="9" t="n">
        <f aca="false">(J7+IFERROR(2*C7/(2*C7+E7+D7),0))/2</f>
        <v>0.581828249004667</v>
      </c>
      <c r="N7" s="10" t="n">
        <v>0.6982</v>
      </c>
      <c r="O7" s="7" t="n">
        <v>0.61</v>
      </c>
      <c r="P7" s="7" t="n">
        <v>0.78</v>
      </c>
      <c r="Q7" s="7" t="n">
        <v>0.52</v>
      </c>
      <c r="R7" s="7" t="n">
        <v>0.68</v>
      </c>
      <c r="S7" s="11" t="n">
        <f aca="false">D7+F7</f>
        <v>188</v>
      </c>
      <c r="T7" s="11" t="n">
        <f aca="false">C7+D7+E7+F7</f>
        <v>244</v>
      </c>
    </row>
    <row r="8" customFormat="false" ht="15" hidden="false" customHeight="false" outlineLevel="0" collapsed="false">
      <c r="A8" s="6" t="s">
        <v>41</v>
      </c>
      <c r="B8" s="7" t="n">
        <v>0.73</v>
      </c>
      <c r="C8" s="8" t="n">
        <v>13</v>
      </c>
      <c r="D8" s="8" t="n">
        <v>28</v>
      </c>
      <c r="E8" s="8" t="n">
        <v>9</v>
      </c>
      <c r="F8" s="8" t="n">
        <v>194</v>
      </c>
      <c r="G8" s="9" t="n">
        <f aca="false">(C8+F8)/(C8+D8+E8+F8)</f>
        <v>0.848360655737705</v>
      </c>
      <c r="H8" s="9" t="n">
        <f aca="false">IFERROR(F8/(F8+D8),0)</f>
        <v>0.873873873873874</v>
      </c>
      <c r="I8" s="9" t="n">
        <f aca="false">IFERROR(F8/(F8+E8),0)</f>
        <v>0.955665024630542</v>
      </c>
      <c r="J8" s="9" t="n">
        <f aca="false">IFERROR(2*F8/(2*F8+D8+E8),0)</f>
        <v>0.912941176470588</v>
      </c>
      <c r="K8" s="9" t="n">
        <f aca="false">IFERROR(C8/(C8+D8),0)</f>
        <v>0.317073170731707</v>
      </c>
      <c r="L8" s="9" t="n">
        <f aca="false">(I8+K8)/2</f>
        <v>0.636369097681125</v>
      </c>
      <c r="M8" s="9" t="n">
        <f aca="false">(J8+IFERROR(2*C8/(2*C8+E8+D8),0))/2</f>
        <v>0.662819794584501</v>
      </c>
      <c r="N8" s="10" t="n">
        <v>0.7197</v>
      </c>
      <c r="O8" s="7" t="n">
        <v>0.63</v>
      </c>
      <c r="P8" s="7" t="n">
        <v>0.81</v>
      </c>
      <c r="Q8" s="7" t="n">
        <v>0.57</v>
      </c>
      <c r="R8" s="7" t="n">
        <v>0.71</v>
      </c>
      <c r="S8" s="11" t="n">
        <f aca="false">D8+F8</f>
        <v>222</v>
      </c>
      <c r="T8" s="11" t="n">
        <f aca="false">C8+D8+E8+F8</f>
        <v>244</v>
      </c>
    </row>
    <row r="9" customFormat="false" ht="15" hidden="false" customHeight="false" outlineLevel="0" collapsed="false">
      <c r="A9" s="6" t="s">
        <v>42</v>
      </c>
      <c r="B9" s="7" t="n">
        <v>0.81</v>
      </c>
      <c r="C9" s="8" t="n">
        <v>17</v>
      </c>
      <c r="D9" s="8" t="n">
        <v>24</v>
      </c>
      <c r="E9" s="8" t="n">
        <v>36</v>
      </c>
      <c r="F9" s="8" t="n">
        <v>167</v>
      </c>
      <c r="G9" s="9" t="n">
        <f aca="false">(C9+F9)/(C9+D9+E9+F9)</f>
        <v>0.754098360655738</v>
      </c>
      <c r="H9" s="9" t="n">
        <f aca="false">IFERROR(F9/(F9+D9),0)</f>
        <v>0.87434554973822</v>
      </c>
      <c r="I9" s="9" t="n">
        <f aca="false">IFERROR(F9/(F9+E9),0)</f>
        <v>0.822660098522168</v>
      </c>
      <c r="J9" s="9" t="n">
        <f aca="false">IFERROR(2*F9/(2*F9+D9+E9),0)</f>
        <v>0.847715736040609</v>
      </c>
      <c r="K9" s="9" t="n">
        <f aca="false">IFERROR(C9/(C9+D9),0)</f>
        <v>0.414634146341463</v>
      </c>
      <c r="L9" s="9" t="n">
        <f aca="false">(I9+K9)/2</f>
        <v>0.618647122431815</v>
      </c>
      <c r="M9" s="9" t="n">
        <f aca="false">(J9+IFERROR(2*C9/(2*C9+E9+D9),0))/2</f>
        <v>0.604708931850092</v>
      </c>
      <c r="N9" s="10" t="n">
        <v>0.6721</v>
      </c>
      <c r="O9" s="7" t="n">
        <v>0.58</v>
      </c>
      <c r="P9" s="7" t="n">
        <v>0.76</v>
      </c>
      <c r="Q9" s="7" t="n">
        <v>0.54</v>
      </c>
      <c r="R9" s="7" t="n">
        <v>0.7</v>
      </c>
      <c r="S9" s="11" t="n">
        <f aca="false">D9+F9</f>
        <v>191</v>
      </c>
      <c r="T9" s="11" t="n">
        <f aca="false">C9+D9+E9+F9</f>
        <v>244</v>
      </c>
    </row>
    <row r="10" customFormat="false" ht="15" hidden="false" customHeight="false" outlineLevel="0" collapsed="false">
      <c r="A10" s="12" t="s">
        <v>43</v>
      </c>
      <c r="B10" s="13" t="s">
        <v>44</v>
      </c>
      <c r="C10" s="14" t="n">
        <v>0</v>
      </c>
      <c r="D10" s="14" t="n">
        <v>41</v>
      </c>
      <c r="E10" s="14" t="n">
        <v>0</v>
      </c>
      <c r="F10" s="14" t="n">
        <v>203</v>
      </c>
      <c r="G10" s="15" t="n">
        <f aca="false">(C10+F10)/(C10+D10+E10+F10)</f>
        <v>0.831967213114754</v>
      </c>
      <c r="H10" s="15" t="n">
        <f aca="false">IFERROR(F10/(F10+D10),0)</f>
        <v>0.831967213114754</v>
      </c>
      <c r="I10" s="15" t="n">
        <f aca="false">IFERROR(F10/(F10+E10),0)</f>
        <v>1</v>
      </c>
      <c r="J10" s="15" t="n">
        <f aca="false">IFERROR(2*F10/(2*F10+D10+E10),0)</f>
        <v>0.9082774049217</v>
      </c>
      <c r="K10" s="15" t="n">
        <f aca="false">IFERROR(C10/(C10+D10),0)</f>
        <v>0</v>
      </c>
      <c r="L10" s="15" t="n">
        <f aca="false">(I10+K10)/2</f>
        <v>0.5</v>
      </c>
      <c r="M10" s="15" t="n">
        <f aca="false">(J10+IFERROR(2*C10/(2*C10+E10+D10),0))/2</f>
        <v>0.45413870246085</v>
      </c>
      <c r="N10" s="16" t="n">
        <v>0.5</v>
      </c>
      <c r="O10" s="13" t="s">
        <v>45</v>
      </c>
      <c r="P10" s="13" t="s">
        <v>45</v>
      </c>
      <c r="Q10" s="13" t="s">
        <v>45</v>
      </c>
      <c r="R10" s="13" t="s">
        <v>45</v>
      </c>
      <c r="S10" s="17" t="n">
        <f aca="false">D10+F10</f>
        <v>244</v>
      </c>
      <c r="T10" s="17" t="n">
        <f aca="false">C10+D10+E10+F10</f>
        <v>244</v>
      </c>
    </row>
    <row r="12" customFormat="false" ht="15" hidden="false" customHeight="false" outlineLevel="0" collapsed="false">
      <c r="A12" s="18" t="s">
        <v>46</v>
      </c>
    </row>
    <row r="13" customFormat="false" ht="15" hidden="false" customHeight="false" outlineLevel="0" collapsed="false">
      <c r="A13" s="19" t="s">
        <v>47</v>
      </c>
    </row>
    <row r="14" customFormat="false" ht="15" hidden="false" customHeight="false" outlineLevel="0" collapsed="false">
      <c r="A14" s="19" t="s">
        <v>48</v>
      </c>
    </row>
    <row r="15" customFormat="false" ht="15" hidden="false" customHeight="false" outlineLevel="0" collapsed="false">
      <c r="A15" s="19" t="s">
        <v>49</v>
      </c>
    </row>
    <row r="16" customFormat="false" ht="15" hidden="false" customHeight="false" outlineLevel="0" collapsed="false">
      <c r="A16" s="19" t="s">
        <v>50</v>
      </c>
    </row>
    <row r="17" customFormat="false" ht="15" hidden="false" customHeight="false" outlineLevel="0" collapsed="false">
      <c r="A17" s="19" t="s">
        <v>51</v>
      </c>
    </row>
    <row r="18" customFormat="false" ht="15" hidden="false" customHeight="false" outlineLevel="0" collapsed="false">
      <c r="A18" s="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9" min="7" style="0" width="15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4" t="s">
        <v>54</v>
      </c>
    </row>
    <row r="4" customFormat="false" ht="31.5" hidden="false" customHeight="true" outlineLevel="0" collapsed="false">
      <c r="A4" s="5" t="s">
        <v>18</v>
      </c>
      <c r="B4" s="5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</row>
    <row r="5" customFormat="false" ht="15" hidden="false" customHeight="false" outlineLevel="0" collapsed="false">
      <c r="A5" s="6" t="s">
        <v>38</v>
      </c>
      <c r="B5" s="10" t="n">
        <v>0.656</v>
      </c>
      <c r="C5" s="20" t="n">
        <f aca="false">'Test results'!N5</f>
        <v>0.7827</v>
      </c>
      <c r="D5" s="21" t="n">
        <f aca="false">C5-B5</f>
        <v>0.1267</v>
      </c>
      <c r="E5" s="22" t="n">
        <f aca="false">RANK(B5,$B$5:$B$9)</f>
        <v>4</v>
      </c>
      <c r="F5" s="22" t="n">
        <f aca="false">RANK(C5,$C$5:$C$9)</f>
        <v>1</v>
      </c>
      <c r="G5" s="10" t="n">
        <v>0.531</v>
      </c>
      <c r="H5" s="20" t="n">
        <f aca="false">'Test results'!L5</f>
        <v>0.589811366093957</v>
      </c>
      <c r="I5" s="21" t="n">
        <f aca="false">H5-G5</f>
        <v>0.0588113660939565</v>
      </c>
    </row>
    <row r="6" customFormat="false" ht="15" hidden="false" customHeight="false" outlineLevel="0" collapsed="false">
      <c r="A6" s="6" t="s">
        <v>39</v>
      </c>
      <c r="B6" s="10" t="n">
        <v>0.76</v>
      </c>
      <c r="C6" s="20" t="n">
        <f aca="false">'Test results'!N6</f>
        <v>0.7211</v>
      </c>
      <c r="D6" s="21" t="n">
        <f aca="false">C6-B6</f>
        <v>-0.0389</v>
      </c>
      <c r="E6" s="22" t="n">
        <f aca="false">RANK(B6,$B$5:$B$9)</f>
        <v>1</v>
      </c>
      <c r="F6" s="22" t="n">
        <f aca="false">RANK(C6,$C$5:$C$9)</f>
        <v>2</v>
      </c>
      <c r="G6" s="10" t="n">
        <v>0.692</v>
      </c>
      <c r="H6" s="20" t="n">
        <f aca="false">'Test results'!L6</f>
        <v>0.601646041090953</v>
      </c>
      <c r="I6" s="21" t="n">
        <f aca="false">H6-G6</f>
        <v>-0.0903539589090472</v>
      </c>
    </row>
    <row r="7" customFormat="false" ht="15" hidden="false" customHeight="false" outlineLevel="0" collapsed="false">
      <c r="A7" s="6" t="s">
        <v>40</v>
      </c>
      <c r="B7" s="10" t="n">
        <v>0.754</v>
      </c>
      <c r="C7" s="20" t="n">
        <f aca="false">'Test results'!N7</f>
        <v>0.6982</v>
      </c>
      <c r="D7" s="21" t="n">
        <f aca="false">C7-B7</f>
        <v>-0.0558</v>
      </c>
      <c r="E7" s="22" t="n">
        <f aca="false">RANK(B7,$B$5:$B$9)</f>
        <v>2</v>
      </c>
      <c r="F7" s="22" t="n">
        <f aca="false">RANK(C7,$C$5:$C$9)</f>
        <v>4</v>
      </c>
      <c r="G7" s="10" t="n">
        <v>0.644</v>
      </c>
      <c r="H7" s="20" t="n">
        <f aca="false">'Test results'!L7</f>
        <v>0.596599783731828</v>
      </c>
      <c r="I7" s="21" t="n">
        <f aca="false">H7-G7</f>
        <v>-0.0474002162681725</v>
      </c>
    </row>
    <row r="8" customFormat="false" ht="15" hidden="false" customHeight="false" outlineLevel="0" collapsed="false">
      <c r="A8" s="6" t="s">
        <v>41</v>
      </c>
      <c r="B8" s="10" t="n">
        <v>0.749</v>
      </c>
      <c r="C8" s="20" t="n">
        <f aca="false">'Test results'!N8</f>
        <v>0.7197</v>
      </c>
      <c r="D8" s="21" t="n">
        <f aca="false">C8-B8</f>
        <v>-0.0293</v>
      </c>
      <c r="E8" s="22" t="n">
        <f aca="false">RANK(B8,$B$5:$B$9)</f>
        <v>3</v>
      </c>
      <c r="F8" s="22" t="n">
        <f aca="false">RANK(C8,$C$5:$C$9)</f>
        <v>3</v>
      </c>
      <c r="G8" s="10" t="n">
        <v>0.643</v>
      </c>
      <c r="H8" s="20" t="n">
        <f aca="false">'Test results'!L8</f>
        <v>0.636369097681125</v>
      </c>
      <c r="I8" s="21" t="n">
        <f aca="false">H8-G8</f>
        <v>-0.00663090231887542</v>
      </c>
    </row>
    <row r="9" customFormat="false" ht="15" hidden="false" customHeight="false" outlineLevel="0" collapsed="false">
      <c r="A9" s="6" t="s">
        <v>42</v>
      </c>
      <c r="B9" s="10" t="n">
        <v>0.612</v>
      </c>
      <c r="C9" s="20" t="n">
        <f aca="false">'Test results'!N9</f>
        <v>0.6721</v>
      </c>
      <c r="D9" s="21" t="n">
        <f aca="false">C9-B9</f>
        <v>0.0601</v>
      </c>
      <c r="E9" s="22" t="n">
        <f aca="false">RANK(B9,$B$5:$B$9)</f>
        <v>5</v>
      </c>
      <c r="F9" s="22" t="n">
        <f aca="false">RANK(C9,$C$5:$C$9)</f>
        <v>5</v>
      </c>
      <c r="G9" s="10" t="n">
        <v>0.49</v>
      </c>
      <c r="H9" s="20" t="n">
        <f aca="false">'Test results'!L9</f>
        <v>0.618647122431815</v>
      </c>
      <c r="I9" s="21" t="n">
        <f aca="false">H9-G9</f>
        <v>0.128647122431815</v>
      </c>
    </row>
    <row r="11" customFormat="false" ht="15" hidden="false" customHeight="false" outlineLevel="0" collapsed="false">
      <c r="A11" s="19" t="s">
        <v>63</v>
      </c>
      <c r="D11" s="23" t="n">
        <f aca="false">MAX(MAX(D5:D9),-MIN(D5:D9))</f>
        <v>0.1267</v>
      </c>
    </row>
    <row r="12" customFormat="false" ht="15" hidden="false" customHeight="false" outlineLevel="0" collapsed="false">
      <c r="A12" s="19" t="s">
        <v>64</v>
      </c>
      <c r="D12" s="23" t="n">
        <f aca="false">MAX(B5:B9)-MIN(B5:B9)</f>
        <v>0.148</v>
      </c>
    </row>
    <row r="13" customFormat="false" ht="15" hidden="false" customHeight="false" outlineLevel="0" collapsed="false">
      <c r="A13" s="19" t="s">
        <v>65</v>
      </c>
      <c r="D13" s="23" t="n">
        <f aca="false">MAX(C5:C9)-MIN(C5:C9)</f>
        <v>0.1106</v>
      </c>
    </row>
    <row r="15" customFormat="false" ht="15" hidden="false" customHeight="false" outlineLevel="0" collapsed="false">
      <c r="A15" s="18" t="s">
        <v>66</v>
      </c>
    </row>
    <row r="16" customFormat="false" ht="15" hidden="false" customHeight="false" outlineLevel="0" collapsed="false">
      <c r="A16" s="19" t="s">
        <v>67</v>
      </c>
    </row>
    <row r="17" customFormat="false" ht="15" hidden="false" customHeight="false" outlineLevel="0" collapsed="false">
      <c r="A17" s="19" t="s">
        <v>68</v>
      </c>
    </row>
    <row r="18" customFormat="false" ht="15" hidden="false" customHeight="false" outlineLevel="0" collapsed="false">
      <c r="A18" s="19" t="s">
        <v>69</v>
      </c>
    </row>
    <row r="19" customFormat="false" ht="15" hidden="false" customHeight="false" outlineLevel="0" collapsed="false">
      <c r="A19" s="19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2026-10-02T15:23:02Z</dcterms:created>
  <dc:creator>openpyxl</dc:creator>
  <dc:description/>
  <dc:language>en-US</dc:language>
  <cp:lastModifiedBy/>
  <dcterms:modified xsi:type="dcterms:W3CDTF">2026-10-02T15:23:05Z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